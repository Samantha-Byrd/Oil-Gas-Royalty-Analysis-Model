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36448D18-8494-4D52-9C11-C9FA1662471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alculator" sheetId="1" r:id="rId1"/>
    <sheet name="Royalty Analysis 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G3" i="1"/>
  <c r="G4" i="1"/>
  <c r="G5" i="1"/>
  <c r="H2" i="1"/>
  <c r="G2" i="1"/>
</calcChain>
</file>

<file path=xl/sharedStrings.xml><?xml version="1.0" encoding="utf-8"?>
<sst xmlns="http://schemas.openxmlformats.org/spreadsheetml/2006/main" count="10" uniqueCount="10">
  <si>
    <t>Well Name</t>
  </si>
  <si>
    <t>Oil production (in bbl)</t>
  </si>
  <si>
    <t>Oil price ($/bbl)</t>
  </si>
  <si>
    <t>Royalty rate (%)</t>
  </si>
  <si>
    <t>Revenue</t>
  </si>
  <si>
    <t>Royalty Payment</t>
  </si>
  <si>
    <t>(Well Example 1)</t>
  </si>
  <si>
    <t>Low Oil Price Well</t>
  </si>
  <si>
    <t>High Oil Price Well</t>
  </si>
  <si>
    <t>Lower Royalty %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</si>
</sst>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.00"/>
    <numFmt numFmtId="166" formatCode="&quot;$&quot;#,##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and Royalty Payment by Well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Calculator!$B$1</c:f>
              <c:strCache>
                <c:ptCount val="1"/>
                <c:pt idx="0">
                  <c:v>Oil production (in bbl)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Calculator!$A$2:$A$5</c:f>
              <c:strCache>
                <c:ptCount val="4"/>
                <c:pt idx="0">
                  <c:v>(Well Example 1)</c:v>
                </c:pt>
                <c:pt idx="1">
                  <c:v>Low Oil Price Well</c:v>
                </c:pt>
                <c:pt idx="2">
                  <c:v>High Oil Price Well</c:v>
                </c:pt>
                <c:pt idx="3">
                  <c:v>Lower Royalty % well</c:v>
                </c:pt>
              </c:strCache>
            </c:strRef>
          </c:cat>
          <c:val>
            <c:numRef>
              <c:f>Calculator!$B$2:$B$5</c:f>
              <c:numCache>
                <c:formatCode>#,##0</c:formatCode>
                <c:ptCount val="4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4E5-4B8F-A2F3-A553EC3F8299}"/>
            </c:ext>
          </c:extLst>
        </c:ser>
        <c:ser>
          <c:idx val="1"/>
          <c:order val="1"/>
          <c:tx>
            <c:strRef>
              <c:f>Calculator!$C$1</c:f>
              <c:strCache>
                <c:ptCount val="1"/>
                <c:pt idx="0">
                  <c:v>Oil price ($/bbl)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Calculator!$A$2:$A$5</c:f>
              <c:strCache>
                <c:ptCount val="4"/>
                <c:pt idx="0">
                  <c:v>(Well Example 1)</c:v>
                </c:pt>
                <c:pt idx="1">
                  <c:v>Low Oil Price Well</c:v>
                </c:pt>
                <c:pt idx="2">
                  <c:v>High Oil Price Well</c:v>
                </c:pt>
                <c:pt idx="3">
                  <c:v>Lower Royalty % well</c:v>
                </c:pt>
              </c:strCache>
            </c:strRef>
          </c:cat>
          <c:val>
            <c:numRef>
              <c:f>Calculator!$C$2:$C$5</c:f>
              <c:numCache>
                <c:formatCode>"$"#,##0.00</c:formatCode>
                <c:ptCount val="4"/>
                <c:pt idx="0">
                  <c:v>75</c:v>
                </c:pt>
                <c:pt idx="1">
                  <c:v>60</c:v>
                </c:pt>
                <c:pt idx="2">
                  <c:v>90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4E5-4B8F-A2F3-A553EC3F8299}"/>
            </c:ext>
          </c:extLst>
        </c:ser>
        <c:ser>
          <c:idx val="2"/>
          <c:order val="2"/>
          <c:tx>
            <c:strRef>
              <c:f>Calculator!$D$1</c:f>
              <c:strCache>
                <c:ptCount val="1"/>
                <c:pt idx="0">
                  <c:v>Royalty rate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Calculator!$A$2:$A$5</c:f>
              <c:strCache>
                <c:ptCount val="4"/>
                <c:pt idx="0">
                  <c:v>(Well Example 1)</c:v>
                </c:pt>
                <c:pt idx="1">
                  <c:v>Low Oil Price Well</c:v>
                </c:pt>
                <c:pt idx="2">
                  <c:v>High Oil Price Well</c:v>
                </c:pt>
                <c:pt idx="3">
                  <c:v>Lower Royalty % well</c:v>
                </c:pt>
              </c:strCache>
            </c:strRef>
          </c:cat>
          <c:val>
            <c:numRef>
              <c:f>Calculator!$D$2:$D$5</c:f>
              <c:numCache>
                <c:formatCode>0.00%</c:formatCode>
                <c:ptCount val="4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4E5-4B8F-A2F3-A553EC3F8299}"/>
            </c:ext>
          </c:extLst>
        </c:ser>
        <c:ser>
          <c:idx val="3"/>
          <c:order val="3"/>
          <c:tx>
            <c:strRef>
              <c:f>Calculator!$E$1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Calculator!$A$2:$A$5</c:f>
              <c:strCache>
                <c:ptCount val="4"/>
                <c:pt idx="0">
                  <c:v>(Well Example 1)</c:v>
                </c:pt>
                <c:pt idx="1">
                  <c:v>Low Oil Price Well</c:v>
                </c:pt>
                <c:pt idx="2">
                  <c:v>High Oil Price Well</c:v>
                </c:pt>
                <c:pt idx="3">
                  <c:v>Lower Royalty % well</c:v>
                </c:pt>
              </c:strCache>
            </c:strRef>
          </c:cat>
          <c:val>
            <c:numRef>
              <c:f>Calculator!$E$2:$E$5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E-34E5-4B8F-A2F3-A553EC3F8299}"/>
            </c:ext>
          </c:extLst>
        </c:ser>
        <c:ser>
          <c:idx val="4"/>
          <c:order val="4"/>
          <c:tx>
            <c:strRef>
              <c:f>Calculator!$F$1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Calculator!$A$2:$A$5</c:f>
              <c:strCache>
                <c:ptCount val="4"/>
                <c:pt idx="0">
                  <c:v>(Well Example 1)</c:v>
                </c:pt>
                <c:pt idx="1">
                  <c:v>Low Oil Price Well</c:v>
                </c:pt>
                <c:pt idx="2">
                  <c:v>High Oil Price Well</c:v>
                </c:pt>
                <c:pt idx="3">
                  <c:v>Lower Royalty % well</c:v>
                </c:pt>
              </c:strCache>
            </c:strRef>
          </c:cat>
          <c:val>
            <c:numRef>
              <c:f>Calculator!$F$2:$F$5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F-34E5-4B8F-A2F3-A553EC3F8299}"/>
            </c:ext>
          </c:extLst>
        </c:ser>
        <c:ser>
          <c:idx val="5"/>
          <c:order val="5"/>
          <c:tx>
            <c:strRef>
              <c:f>Calculator!$G$1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Calculator!$A$2:$A$5</c:f>
              <c:strCache>
                <c:ptCount val="4"/>
                <c:pt idx="0">
                  <c:v>(Well Example 1)</c:v>
                </c:pt>
                <c:pt idx="1">
                  <c:v>Low Oil Price Well</c:v>
                </c:pt>
                <c:pt idx="2">
                  <c:v>High Oil Price Well</c:v>
                </c:pt>
                <c:pt idx="3">
                  <c:v>Lower Royalty % well</c:v>
                </c:pt>
              </c:strCache>
            </c:strRef>
          </c:cat>
          <c:val>
            <c:numRef>
              <c:f>Calculator!$G$2:$G$5</c:f>
              <c:numCache>
                <c:formatCode>"$"#,##0</c:formatCode>
                <c:ptCount val="4"/>
                <c:pt idx="0">
                  <c:v>75000</c:v>
                </c:pt>
                <c:pt idx="1">
                  <c:v>60000</c:v>
                </c:pt>
                <c:pt idx="2">
                  <c:v>90000</c:v>
                </c:pt>
                <c:pt idx="3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4E5-4B8F-A2F3-A553EC3F8299}"/>
            </c:ext>
          </c:extLst>
        </c:ser>
        <c:ser>
          <c:idx val="6"/>
          <c:order val="6"/>
          <c:tx>
            <c:strRef>
              <c:f>Calculator!$H$1</c:f>
              <c:strCache>
                <c:ptCount val="1"/>
                <c:pt idx="0">
                  <c:v>Royalty Payment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Calculator!$A$2:$A$5</c:f>
              <c:strCache>
                <c:ptCount val="4"/>
                <c:pt idx="0">
                  <c:v>(Well Example 1)</c:v>
                </c:pt>
                <c:pt idx="1">
                  <c:v>Low Oil Price Well</c:v>
                </c:pt>
                <c:pt idx="2">
                  <c:v>High Oil Price Well</c:v>
                </c:pt>
                <c:pt idx="3">
                  <c:v>Lower Royalty % well</c:v>
                </c:pt>
              </c:strCache>
            </c:strRef>
          </c:cat>
          <c:val>
            <c:numRef>
              <c:f>Calculator!$H$2:$H$5</c:f>
              <c:numCache>
                <c:formatCode>"$"#,##0</c:formatCode>
                <c:ptCount val="4"/>
                <c:pt idx="0">
                  <c:v>15000</c:v>
                </c:pt>
                <c:pt idx="1">
                  <c:v>12000</c:v>
                </c:pt>
                <c:pt idx="2">
                  <c:v>18000</c:v>
                </c:pt>
                <c:pt idx="3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4E5-4B8F-A2F3-A553EC3F8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969288"/>
        <c:axId val="527979528"/>
      </c:barChart>
      <c:catAx>
        <c:axId val="527969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79528"/>
        <c:crosses val="autoZero"/>
        <c:auto val="1"/>
        <c:lblAlgn val="ctr"/>
        <c:lblOffset val="100"/>
        <c:noMultiLvlLbl val="0"/>
      </c:catAx>
      <c:valAx>
        <c:axId val="527979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69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7</xdr:row>
      <xdr:rowOff>0</xdr:rowOff>
    </xdr:from>
    <xdr:to>
      <xdr:col>5</xdr:col>
      <xdr:colOff>57150</xdr:colOff>
      <xdr:row>21</xdr:row>
      <xdr:rowOff>76200</xdr:rowOff>
    </xdr:to>
    <xdr:graphicFrame macro="">
      <xdr:nvGraphicFramePr>
        <xdr:cNvPr id="4" name="RevenueRoyaltyChart">
          <a:extLst>
            <a:ext uri="{FF2B5EF4-FFF2-40B4-BE49-F238E27FC236}">
              <a16:creationId xmlns:a16="http://schemas.microsoft.com/office/drawing/2014/main" id="{260C7271-3931-3076-001B-B65360526BA7}"/>
            </a:ext>
            <a:ext uri="{147F2762-F138-4A5C-976F-8EAC2B608ADB}">
              <a16:predDERef xmlns:a16="http://schemas.microsoft.com/office/drawing/2014/main" pred="{AF13182A-2BEC-0CBF-6F04-5D6ABCA62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32144B-C93B-47F3-9C1C-26A6279BC063}">
  <we:reference id="WA200005502" version="1.0.0.12" store="en-us" storeType="omex"/>
  <we:alternateReferences>
    <we:reference id="WA200005502" version="1.0.0.12" store="en-us" storeType="omex"/>
  </we:alternateReferences>
  <we:properties>
    <we:property name="docId" value="&quot;kzo9qruzgz_y0O5H2YgU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F1" sqref="F1"/>
    </sheetView>
  </sheetViews>
  <sheetFormatPr defaultRowHeight="15"/>
  <cols>
    <col min="1" max="1" width="19.85546875" bestFit="1" customWidth="1"/>
    <col min="2" max="2" width="20.5703125" bestFit="1" customWidth="1"/>
    <col min="3" max="3" width="15" bestFit="1" customWidth="1"/>
    <col min="4" max="4" width="15.140625" bestFit="1" customWidth="1"/>
    <col min="7" max="7" width="8.7109375" bestFit="1" customWidth="1"/>
    <col min="8" max="8" width="16" bestFit="1" customWidth="1"/>
  </cols>
  <sheetData>
    <row r="1" spans="1:8" ht="30.75">
      <c r="A1" s="2" t="s">
        <v>0</v>
      </c>
      <c r="B1" s="2" t="s">
        <v>1</v>
      </c>
      <c r="C1" s="2" t="s">
        <v>2</v>
      </c>
      <c r="D1" s="3" t="s">
        <v>3</v>
      </c>
      <c r="E1" s="2"/>
      <c r="F1" s="2"/>
      <c r="G1" s="2" t="s">
        <v>4</v>
      </c>
      <c r="H1" s="2" t="s">
        <v>5</v>
      </c>
    </row>
    <row r="2" spans="1:8">
      <c r="A2" s="4" t="s">
        <v>6</v>
      </c>
      <c r="B2" s="5">
        <v>1000</v>
      </c>
      <c r="C2" s="6">
        <v>75</v>
      </c>
      <c r="D2" s="7">
        <v>0.2</v>
      </c>
      <c r="E2" s="1"/>
      <c r="F2" s="1"/>
      <c r="G2" s="8">
        <f>C2*B2</f>
        <v>75000</v>
      </c>
      <c r="H2" s="8">
        <f>G2*$D$2</f>
        <v>15000</v>
      </c>
    </row>
    <row r="3" spans="1:8">
      <c r="A3" s="4" t="s">
        <v>7</v>
      </c>
      <c r="B3" s="5">
        <v>1000</v>
      </c>
      <c r="C3" s="6">
        <v>60</v>
      </c>
      <c r="D3" s="7">
        <v>0.2</v>
      </c>
      <c r="E3" s="1"/>
      <c r="F3" s="1"/>
      <c r="G3" s="8">
        <f t="shared" ref="G3:G5" si="0">C3*B3</f>
        <v>60000</v>
      </c>
      <c r="H3" s="8">
        <f t="shared" ref="H3:H5" si="1">G3*$D$2</f>
        <v>12000</v>
      </c>
    </row>
    <row r="4" spans="1:8">
      <c r="A4" s="4" t="s">
        <v>8</v>
      </c>
      <c r="B4" s="5">
        <v>1000</v>
      </c>
      <c r="C4" s="6">
        <v>90</v>
      </c>
      <c r="D4" s="7">
        <v>0.2</v>
      </c>
      <c r="E4" s="1"/>
      <c r="F4" s="1"/>
      <c r="G4" s="8">
        <f t="shared" si="0"/>
        <v>90000</v>
      </c>
      <c r="H4" s="8">
        <f t="shared" si="1"/>
        <v>18000</v>
      </c>
    </row>
    <row r="5" spans="1:8" ht="30.75">
      <c r="A5" s="4" t="s">
        <v>9</v>
      </c>
      <c r="B5" s="5">
        <v>1000</v>
      </c>
      <c r="C5" s="6">
        <v>75</v>
      </c>
      <c r="D5" s="7">
        <v>0.15</v>
      </c>
      <c r="E5" s="1"/>
      <c r="F5" s="1"/>
      <c r="G5" s="8">
        <f t="shared" si="0"/>
        <v>75000</v>
      </c>
      <c r="H5" s="8">
        <f t="shared" si="1"/>
        <v>15000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4DE4-8B40-4523-AC07-0585482F7D6D}">
  <dimension ref="A1"/>
  <sheetViews>
    <sheetView workbookViewId="0">
      <selection activeCell="C4" sqref="C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2026-03-28T00:30:04Z</dcterms:created>
  <dcterms:modified xsi:type="dcterms:W3CDTF">2026-03-28T00:49:47Z</dcterms:modified>
  <cp:category/>
  <cp:contentStatus/>
</cp:coreProperties>
</file>